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<sst xmlns="http://schemas.openxmlformats.org/spreadsheetml/2006/main" count="17" uniqueCount="17">
  <si>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Quarter</t>
  </si>
  <si>
    <t>Release date</t>
  </si>
  <si>
    <t>Guidance low ($bn)</t>
  </si>
  <si>
    <t>Guidance high ($bn)</t>
  </si>
  <si>
    <t>Actual revenue ($bn)</t>
  </si>
  <si>
    <t>Consulting ($bn)</t>
  </si>
  <si>
    <t>Managed Services ($bn)</t>
  </si>
  <si>
    <t>Headcount</t>
  </si>
  <si>
    <t>Source</t>
  </si>
  <si>
    <t>Midpoint</t>
  </si>
  <si>
    <t>Variance ($bn)</t>
  </si>
  <si>
    <t>Variance %</t>
  </si>
  <si>
    <t>Result</t>
  </si>
  <si>
    <t>FY26 Q4</t>
  </si>
  <si>
    <t>https://www.sec.gov/Archives/edgar/data/0001467373/000146737326000037/q4fy26earnings8-kexhibit.htm</t>
  </si>
  <si>
    <t>FY26 Q3</t>
  </si>
  <si>
    <t>https://www.sec.gov/Archives/edgar/data/0001467373/000146737326000031/q3fy26earnings8-kexhibit.htm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</si>
</sst>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&quot;$&quot;#,##0.00"/>
    <numFmt numFmtId="166" formatCode="#,##0.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8DEFD"/>
        <bgColor rgb="FFE8DEFD"/>
      </patternFill>
    </fill>
    <fill>
      <patternFill patternType="solid">
        <fgColor rgb="FFF1F2F2"/>
        <bgColor rgb="FFF1F2F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165" xfId="0" applyAlignment="1" applyFill="1" applyFont="1" applyNumberFormat="1">
      <alignment horizontal="left" readingOrder="0"/>
    </xf>
    <xf borderId="0" fillId="0" fontId="1" numFmtId="166" xfId="0" applyAlignment="1" applyFont="1" applyNumberFormat="1">
      <alignment readingOrder="0"/>
    </xf>
    <xf borderId="0" fillId="3" fontId="3" numFmtId="166" xfId="0" applyAlignment="1" applyFill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1" numFmtId="4" xfId="0" applyFont="1" applyNumberFormat="1"/>
    <xf borderId="0" fillId="0" fontId="1" numFmtId="10" xfId="0" applyFont="1" applyNumberFormat="1"/>
    <xf borderId="0" fillId="2" fontId="2" numFmtId="165" xfId="0" applyAlignment="1" applyFill="1" applyFont="1" applyNumberFormat="1">
      <alignment horizontal="left" readingOrder="0"/>
    </xf>
    <xf borderId="0" fillId="4" fontId="2" numFmtId="3" xfId="0" applyAlignment="1" applyFill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c.gov/Archives/edgar/data/0001467373/000146737326000037/q4fy26earnings8-kexhibit.htm" TargetMode="External"/><Relationship Id="rId2" Type="http://schemas.openxmlformats.org/officeDocument/2006/relationships/hyperlink" Target="https://www.sec.gov/Archives/edgar/data/0001467373/000146737326000031/q3fy26earnings8-kexhibit.ht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>
        <v>46296.0</v>
      </c>
      <c r="C2" s="3">
        <v>17.75</v>
      </c>
      <c r="D2" s="3">
        <v>18.4</v>
      </c>
      <c r="E2" s="4">
        <v>18.679</v>
      </c>
      <c r="F2" s="5">
        <v>9.281</v>
      </c>
      <c r="G2" s="4">
        <v>9.398</v>
      </c>
      <c r="H2" s="1">
        <v>814000.0</v>
      </c>
      <c r="I2" s="6" t="s">
        <v>14</v>
      </c>
      <c r="J2" s="7">
        <f t="shared" ref="J2:J3" si="1">(C2+D2)/2</f>
        <v>18.075</v>
      </c>
      <c r="K2" s="7">
        <f t="shared" ref="K2:K3" si="2">E2-J2</f>
        <v>0.604</v>
      </c>
      <c r="L2" s="8">
        <f t="shared" ref="L2:L3" si="3">K2/J2</f>
        <v>0.03341632089</v>
      </c>
      <c r="M2" s="8" t="str">
        <f t="shared" ref="M2:M3" si="4">IF(E2&gt;D2,"Above range",IF(E2&lt;C2,"Below range","Within range"))</f>
        <v>Above range</v>
      </c>
    </row>
    <row r="3">
      <c r="A3" s="1" t="s">
        <v>15</v>
      </c>
      <c r="B3" s="2">
        <v>46191.0</v>
      </c>
      <c r="C3" s="9">
        <v>18.35</v>
      </c>
      <c r="D3" s="9">
        <v>19.0</v>
      </c>
      <c r="E3" s="1">
        <v>18.718</v>
      </c>
      <c r="F3" s="1">
        <v>9.328</v>
      </c>
      <c r="G3" s="1">
        <v>9.389</v>
      </c>
      <c r="H3" s="10">
        <v>799000.0</v>
      </c>
      <c r="I3" s="6" t="s">
        <v>16</v>
      </c>
      <c r="J3" s="7">
        <f t="shared" si="1"/>
        <v>18.675</v>
      </c>
      <c r="K3" s="7">
        <f t="shared" si="2"/>
        <v>0.043</v>
      </c>
      <c r="L3" s="8">
        <f t="shared" si="3"/>
        <v>0.002302543507</v>
      </c>
      <c r="M3" s="8" t="str">
        <f t="shared" si="4"/>
        <v>Within range</v>
      </c>
    </row>
  </sheetData>
  <hyperlinks>
    <hyperlink r:id="rId1" ref="I2"/>
    <hyperlink r:id="rId2" ref="I3"/>
  </hyperlinks>
  <drawing r:id="rId3"/>
</worksheet>
</file>