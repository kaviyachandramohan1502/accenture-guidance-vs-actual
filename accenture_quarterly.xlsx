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<sst xmlns="http://schemas.openxmlformats.org/spreadsheetml/2006/main" count="15" uniqueCount="15">
  <si>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Quarter</t>
  </si>
  <si>
    <t>Release date</t>
  </si>
  <si>
    <t>Guidance low ($bn)</t>
  </si>
  <si>
    <t>Guidance high ($bn)</t>
  </si>
  <si>
    <t>Actual revenue ($bn)</t>
  </si>
  <si>
    <t>Consulting ($bn)</t>
  </si>
  <si>
    <t>Managed Services ($bn)</t>
  </si>
  <si>
    <t>Headcount</t>
  </si>
  <si>
    <t>Source</t>
  </si>
  <si>
    <t>Midpoint</t>
  </si>
  <si>
    <t>Variance ($bn)</t>
  </si>
  <si>
    <t>Variance %</t>
  </si>
  <si>
    <t>Result</t>
  </si>
  <si>
    <t>FY26 Q4</t>
  </si>
  <si>
    <t>https://www.sec.gov/Archives/edgar/data/0001467373/000146737326000037/q4fy26earnings8-kexhibit.htm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</si>
</sst>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.00"/>
    <numFmt numFmtId="166" formatCode="#,##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0.0"/>
      <color rgb="FF000000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8DEFD"/>
        <bgColor rgb="FFE8DEF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165" xfId="0" applyAlignment="1" applyFill="1" applyFont="1" applyNumberFormat="1">
      <alignment horizontal="left" readingOrder="0"/>
    </xf>
    <xf borderId="0" fillId="0" fontId="1" numFmtId="166" xfId="0" applyAlignment="1" applyFont="1" applyNumberFormat="1">
      <alignment readingOrder="0"/>
    </xf>
    <xf borderId="0" fillId="3" fontId="3" numFmtId="166" xfId="0" applyAlignment="1" applyFill="1" applyFont="1" applyNumberFormat="1">
      <alignment horizontal="right" readingOrder="0"/>
    </xf>
    <xf borderId="0" fillId="0" fontId="4" numFmtId="0" xfId="0" applyAlignment="1" applyFont="1">
      <alignment readingOrder="0"/>
    </xf>
    <xf borderId="0" fillId="0" fontId="1" numFmtId="4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c.gov/Archives/edgar/data/0001467373/000146737326000037/q4fy26earnings8-kexhibit.ht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46296.0</v>
      </c>
      <c r="C2" s="3">
        <v>17.75</v>
      </c>
      <c r="D2" s="3">
        <v>18.4</v>
      </c>
      <c r="E2" s="4">
        <v>18.679</v>
      </c>
      <c r="F2" s="5">
        <v>9.281</v>
      </c>
      <c r="G2" s="4">
        <v>9.398</v>
      </c>
      <c r="H2" s="1">
        <v>814000.0</v>
      </c>
      <c r="I2" s="6" t="s">
        <v>14</v>
      </c>
      <c r="J2" s="7">
        <f>(C2+D2)/2</f>
        <v>18.075</v>
      </c>
      <c r="K2" s="7">
        <f>E2-J2</f>
        <v>0.604</v>
      </c>
      <c r="L2" s="8">
        <f>K2/J2</f>
        <v>0.03341632089</v>
      </c>
      <c r="M2" s="8" t="str">
        <f>IF(E2&gt;D2,"Above range",IF(E2&lt;C2,"Below range","Within range"))</f>
        <v>Above range</v>
      </c>
    </row>
  </sheetData>
  <hyperlinks>
    <hyperlink r:id="rId1" ref="I2"/>
  </hyperlinks>
  <drawing r:id="rId2"/>
</worksheet>
</file>